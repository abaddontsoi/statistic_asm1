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cc\statistic\asm1\"/>
    </mc:Choice>
  </mc:AlternateContent>
  <xr:revisionPtr revIDLastSave="0" documentId="8_{3745BC5D-1DC6-4FC8-B7D9-B91A39670243}" xr6:coauthVersionLast="46" xr6:coauthVersionMax="46" xr10:uidLastSave="{00000000-0000-0000-0000-000000000000}"/>
  <bookViews>
    <workbookView xWindow="-10395" yWindow="4590" windowWidth="21600" windowHeight="11385" activeTab="2" xr2:uid="{86E9345E-4241-4D87-AA3B-0FFCB8F9040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D6" i="2"/>
  <c r="F6" i="2"/>
  <c r="G6" i="2"/>
  <c r="C6" i="2"/>
  <c r="D5" i="2"/>
  <c r="F5" i="2"/>
  <c r="G5" i="2"/>
  <c r="C5" i="2"/>
  <c r="D4" i="2"/>
  <c r="F4" i="2"/>
  <c r="G4" i="2"/>
  <c r="C4" i="2"/>
  <c r="F3" i="2"/>
  <c r="G3" i="2"/>
  <c r="C3" i="2"/>
  <c r="D3" i="2"/>
  <c r="E3" i="2"/>
  <c r="J3" i="2"/>
  <c r="P3" i="2" s="1"/>
  <c r="K3" i="2"/>
  <c r="Q3" i="2" s="1"/>
  <c r="L3" i="2"/>
  <c r="M3" i="2"/>
  <c r="I3" i="2"/>
  <c r="O3" i="2" s="1"/>
  <c r="I5" i="2"/>
  <c r="C5" i="1"/>
  <c r="C4" i="1"/>
  <c r="C3" i="1"/>
  <c r="D3" i="1" s="1"/>
  <c r="D2" i="1"/>
  <c r="C2" i="1"/>
  <c r="D5" i="1" l="1"/>
  <c r="D4" i="1"/>
</calcChain>
</file>

<file path=xl/sharedStrings.xml><?xml version="1.0" encoding="utf-8"?>
<sst xmlns="http://schemas.openxmlformats.org/spreadsheetml/2006/main" count="44" uniqueCount="31">
  <si>
    <t>Smart; 0005 45lb; Dog</t>
  </si>
  <si>
    <t>Eng: 30 mins Chi: 30 mins Maths: 60 mins</t>
  </si>
  <si>
    <t>Eng</t>
  </si>
  <si>
    <t>Chi</t>
  </si>
  <si>
    <t>Maths</t>
  </si>
  <si>
    <t>Phy</t>
  </si>
  <si>
    <t>Chem</t>
  </si>
  <si>
    <t>Chi: 45 mins Chem: 105 mins Phy: 120 mins</t>
  </si>
  <si>
    <t>Chi: 20 mins Maths: 105 mins Phy: 90 mins</t>
  </si>
  <si>
    <t>Maths: 30 mins Eng: 45 mins Chem: 180 mins</t>
  </si>
  <si>
    <t>Code</t>
  </si>
  <si>
    <t>Grade</t>
  </si>
  <si>
    <t>C110</t>
  </si>
  <si>
    <t>C121</t>
  </si>
  <si>
    <t>S231</t>
  </si>
  <si>
    <t>S254</t>
  </si>
  <si>
    <t>C109</t>
  </si>
  <si>
    <t>A181</t>
  </si>
  <si>
    <t>A208</t>
  </si>
  <si>
    <t>C184</t>
  </si>
  <si>
    <t>S345</t>
  </si>
  <si>
    <t xml:space="preserve">Price per unit </t>
  </si>
  <si>
    <t>Limit</t>
  </si>
  <si>
    <t>D</t>
  </si>
  <si>
    <t>C</t>
  </si>
  <si>
    <t>B</t>
  </si>
  <si>
    <t>A</t>
  </si>
  <si>
    <t>0 to 51</t>
  </si>
  <si>
    <t>52 to 61</t>
  </si>
  <si>
    <t>62 to 81</t>
  </si>
  <si>
    <t>82 to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</si>
</sst>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9AFC-D075-4BB1-BE54-E1F619E3B7FA}">
  <dimension ref="C1:D5"/>
  <sheetViews>
    <sheetView topLeftCell="A16" workbookViewId="0">
      <selection activeCell="F5" sqref="F5"/>
    </sheetView>
  </sheetViews>
  <sheetFormatPr defaultRowHeight="15"/>
  <cols>
    <col min="3" max="3" width="19.42578125" customWidth="1"/>
  </cols>
  <sheetData>
    <row r="1" spans="3:4">
      <c r="C1" t="s">
        <v>0</v>
      </c>
    </row>
    <row r="2" spans="3:4">
      <c r="C2" t="str">
        <f>LEFT(C1,SEARCH(";",C1)-1)</f>
        <v>Smart</v>
      </c>
      <c r="D2">
        <f>LEN(C2)</f>
        <v>5</v>
      </c>
    </row>
    <row r="3" spans="3:4">
      <c r="C3" t="str">
        <f>MID(C1,SEARCH(" ",C1)+1,4)</f>
        <v>0005</v>
      </c>
      <c r="D3">
        <f>LEN(C3)</f>
        <v>4</v>
      </c>
    </row>
    <row r="4" spans="3:4">
      <c r="C4" t="str">
        <f>MID(C1,LEN(C2&amp;C3)+4,SEARCH("lb",C1)-LEN(C2&amp;C3)-2)</f>
        <v>45lb</v>
      </c>
      <c r="D4">
        <f>LEN(C4)</f>
        <v>4</v>
      </c>
    </row>
    <row r="5" spans="3:4">
      <c r="C5" t="str">
        <f>RIGHT(C1,LEN(C1)-LEN(C2&amp;C3&amp;C4)-5)</f>
        <v>Dog</v>
      </c>
      <c r="D5">
        <f>LEN(C5)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F64C-A1F9-4043-B4CB-86D3FA329C43}">
  <dimension ref="A2:Q6"/>
  <sheetViews>
    <sheetView topLeftCell="B1" workbookViewId="0">
      <selection activeCell="F16" sqref="F16"/>
    </sheetView>
  </sheetViews>
  <sheetFormatPr defaultRowHeight="15"/>
  <cols>
    <col min="2" max="2" width="45.7109375" customWidth="1"/>
    <col min="3" max="3" width="11.85546875" customWidth="1"/>
    <col min="4" max="4" width="15.140625" customWidth="1"/>
    <col min="5" max="5" width="13.28515625" customWidth="1"/>
    <col min="6" max="6" width="19.85546875" customWidth="1"/>
    <col min="7" max="8" width="17" customWidth="1"/>
    <col min="12" max="12" width="13.7109375" customWidth="1"/>
    <col min="13" max="13" width="12.7109375" customWidth="1"/>
  </cols>
  <sheetData>
    <row r="2" spans="1:17"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7">
      <c r="A3">
        <v>1</v>
      </c>
      <c r="B3" t="s">
        <v>1</v>
      </c>
      <c r="C3" t="str">
        <f>IF(ISERROR(SEARCH(C$2,$B3,1)),"No Revision",IF(_xlfn.NUMBERVALUE(MID($B3,SEARCH(C$2,$B3,1)+LEN(C$2)+2,3))&lt;60,"Not enough",_xlfn.NUMBERVALUE(MID($B3,SEARCH(C$2,$B3,1)+LEN(C$2)+2,3))))</f>
        <v>Not enough</v>
      </c>
      <c r="D3" t="str">
        <f>IF(ISERROR(SEARCH(D$2,$B3,1)),"No Revision",IF(_xlfn.NUMBERVALUE(MID($B3,SEARCH(D$2,$B3,1)+LEN(D$2)+2,3))&lt;60,"Not enough",_xlfn.NUMBERVALUE(MID($B3,SEARCH(D$2,$B3,1)+LEN(D$2)+2,3))))</f>
        <v>Not enough</v>
      </c>
      <c r="E3">
        <f>IF(ISERROR(SEARCH(E$2,$B3,1)),"No Revision",IF(_xlfn.NUMBERVALUE(MID($B3,SEARCH(E$2,$B3,1)+LEN(E$2)+2,3))&lt;60,"Not enough",_xlfn.NUMBERVALUE(MID($B3,SEARCH(E$2,$B3,1)+LEN(E$2)+2,3))))</f>
        <v>60</v>
      </c>
      <c r="F3" t="str">
        <f>IF(ISERROR(SEARCH(F$2,$B3,1)),"No Revision",IF(_xlfn.NUMBERVALUE(MID($B3,SEARCH(F$2,$B3,1)+LEN(F$2)+2,3))&lt;60,"Not enough",_xlfn.NUMBERVALUE(MID($B3,SEARCH(F$2,$B3,1)+LEN(F$2)+2,3))))</f>
        <v>No Revision</v>
      </c>
      <c r="G3" t="str">
        <f>IF(ISERROR(SEARCH(G$2,$B3,1)),"No Revision",IF(_xlfn.NUMBERVALUE(MID($B3,SEARCH(G$2,$B3,1)+LEN(G$2)+2,3))&lt;60,"Not enough",_xlfn.NUMBERVALUE(MID($B3,SEARCH(G$2,$B3,1)+LEN(G$2)+2,3))))</f>
        <v>No Revision</v>
      </c>
      <c r="I3">
        <f>IF(ISERROR(SEARCH(C$2,$B3,1)),"No Revision",_xlfn.NUMBERVALUE(MID($B3,SEARCH(C$2,$B3,1)+LEN(C2)+2,3)))</f>
        <v>30</v>
      </c>
      <c r="J3">
        <f t="shared" ref="J3:M3" si="0">IF(ISERROR(SEARCH(D$2,$B3,1)),"No Revision",_xlfn.NUMBERVALUE(MID($B3,SEARCH(D$2,$B3,1)+LEN(D2)+2,3)))</f>
        <v>30</v>
      </c>
      <c r="K3">
        <f t="shared" si="0"/>
        <v>60</v>
      </c>
      <c r="L3" t="str">
        <f t="shared" si="0"/>
        <v>No Revision</v>
      </c>
      <c r="M3" t="str">
        <f t="shared" si="0"/>
        <v>No Revision</v>
      </c>
      <c r="O3">
        <f>LEN(I3)</f>
        <v>2</v>
      </c>
      <c r="P3">
        <f t="shared" ref="P3:Q3" si="1">LEN(J3)</f>
        <v>2</v>
      </c>
      <c r="Q3">
        <f t="shared" si="1"/>
        <v>2</v>
      </c>
    </row>
    <row r="4" spans="1:17">
      <c r="A4">
        <v>2</v>
      </c>
      <c r="B4" t="s">
        <v>7</v>
      </c>
      <c r="C4" t="str">
        <f>IF(ISERROR(SEARCH(C$2,$B4,1)),"No Revision",IF(_xlfn.NUMBERVALUE(MID($B4,SEARCH(C$2,$B4,1)+LEN(C$2)+2,3))&lt;60,"Not enough",_xlfn.NUMBERVALUE(MID($B4,SEARCH(C$2,$B4,1)+LEN(C$2)+2,3))))</f>
        <v>No Revision</v>
      </c>
      <c r="D4" t="str">
        <f t="shared" ref="D4:G6" si="2">IF(ISERROR(SEARCH(D$2,$B4,1)),"No Revision",IF(_xlfn.NUMBERVALUE(MID($B4,SEARCH(D$2,$B4,1)+LEN(D$2)+2,3))&lt;60,"Not enough",_xlfn.NUMBERVALUE(MID($B4,SEARCH(D$2,$B4,1)+LEN(D$2)+2,3))))</f>
        <v>Not enough</v>
      </c>
      <c r="E4" t="str">
        <f t="shared" si="2"/>
        <v>No Revision</v>
      </c>
      <c r="F4">
        <f t="shared" si="2"/>
        <v>120</v>
      </c>
      <c r="G4">
        <f t="shared" si="2"/>
        <v>105</v>
      </c>
    </row>
    <row r="5" spans="1:17">
      <c r="A5">
        <v>3</v>
      </c>
      <c r="B5" t="s">
        <v>8</v>
      </c>
      <c r="C5" t="str">
        <f>IF(ISERROR(SEARCH(C$2,$B5,1)),"No Revision",IF(_xlfn.NUMBERVALUE(MID($B5,SEARCH(C$2,$B5,1)+LEN(C$2)+2,3))&lt;60,"Not enough",_xlfn.NUMBERVALUE(MID($B5,SEARCH(C$2,$B5,1)+LEN(C$2)+2,3))))</f>
        <v>No Revision</v>
      </c>
      <c r="D5" t="str">
        <f t="shared" si="2"/>
        <v>Not enough</v>
      </c>
      <c r="E5">
        <f t="shared" si="2"/>
        <v>105</v>
      </c>
      <c r="F5">
        <f t="shared" si="2"/>
        <v>90</v>
      </c>
      <c r="G5" t="str">
        <f t="shared" si="2"/>
        <v>No Revision</v>
      </c>
      <c r="I5">
        <f>SEARCH(C$2,$B3,1)</f>
        <v>1</v>
      </c>
    </row>
    <row r="6" spans="1:17">
      <c r="A6">
        <v>4</v>
      </c>
      <c r="B6" t="s">
        <v>9</v>
      </c>
      <c r="C6" t="str">
        <f>IF(ISERROR(SEARCH(C$2,$B6,1)),"No Revision",IF(_xlfn.NUMBERVALUE(MID($B6,SEARCH(C$2,$B6,1)+LEN(C$2)+2,3))&lt;60,"Not enough",_xlfn.NUMBERVALUE(MID($B6,SEARCH(C$2,$B6,1)+LEN(C$2)+2,3))))</f>
        <v>Not enough</v>
      </c>
      <c r="D6" t="str">
        <f t="shared" si="2"/>
        <v>No Revision</v>
      </c>
      <c r="E6" t="str">
        <f t="shared" si="2"/>
        <v>Not enough</v>
      </c>
      <c r="F6" t="str">
        <f t="shared" si="2"/>
        <v>No Revision</v>
      </c>
      <c r="G6">
        <f t="shared" si="2"/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ACC7-78F5-406F-BF56-395195FE2AC1}">
  <dimension ref="A1:K14"/>
  <sheetViews>
    <sheetView tabSelected="1" workbookViewId="0">
      <selection activeCell="D2" sqref="D2"/>
    </sheetView>
  </sheetViews>
  <sheetFormatPr defaultRowHeight="15"/>
  <cols>
    <col min="1" max="1" width="15" customWidth="1"/>
  </cols>
  <sheetData>
    <row r="1" spans="1:11">
      <c r="A1" t="s">
        <v>10</v>
      </c>
      <c r="B1" t="s">
        <v>11</v>
      </c>
      <c r="D1" t="s">
        <v>22</v>
      </c>
      <c r="E1" t="s">
        <v>11</v>
      </c>
    </row>
    <row r="2" spans="1:11">
      <c r="A2" t="s">
        <v>12</v>
      </c>
      <c r="D2" t="s">
        <v>27</v>
      </c>
      <c r="E2" t="s">
        <v>23</v>
      </c>
    </row>
    <row r="3" spans="1:11">
      <c r="A3" t="s">
        <v>13</v>
      </c>
      <c r="D3" t="s">
        <v>28</v>
      </c>
      <c r="E3" t="s">
        <v>24</v>
      </c>
    </row>
    <row r="4" spans="1:11">
      <c r="A4" t="s">
        <v>14</v>
      </c>
      <c r="D4" t="s">
        <v>29</v>
      </c>
      <c r="E4" t="s">
        <v>25</v>
      </c>
    </row>
    <row r="5" spans="1:11">
      <c r="A5" t="s">
        <v>15</v>
      </c>
      <c r="D5" t="s">
        <v>30</v>
      </c>
      <c r="E5" t="s">
        <v>26</v>
      </c>
    </row>
    <row r="6" spans="1:11">
      <c r="A6" t="s">
        <v>16</v>
      </c>
    </row>
    <row r="7" spans="1:11">
      <c r="A7" t="s">
        <v>17</v>
      </c>
    </row>
    <row r="8" spans="1:11">
      <c r="A8" t="s">
        <v>18</v>
      </c>
    </row>
    <row r="9" spans="1:11">
      <c r="A9" t="s">
        <v>15</v>
      </c>
    </row>
    <row r="10" spans="1:11">
      <c r="A10" t="s">
        <v>19</v>
      </c>
    </row>
    <row r="11" spans="1:11">
      <c r="A11" t="s">
        <v>20</v>
      </c>
    </row>
    <row r="13" spans="1:11">
      <c r="A13" t="s">
        <v>10</v>
      </c>
      <c r="B13" t="s">
        <v>13</v>
      </c>
      <c r="C13" t="s">
        <v>12</v>
      </c>
      <c r="D13" t="s">
        <v>14</v>
      </c>
      <c r="E13" t="s">
        <v>15</v>
      </c>
      <c r="F13" t="s">
        <v>16</v>
      </c>
      <c r="G13" t="s">
        <v>18</v>
      </c>
      <c r="H13" t="s">
        <v>17</v>
      </c>
      <c r="I13" t="s">
        <v>19</v>
      </c>
      <c r="J13" t="s">
        <v>15</v>
      </c>
      <c r="K13" t="s">
        <v>20</v>
      </c>
    </row>
    <row r="14" spans="1:11">
      <c r="A14" t="s">
        <v>21</v>
      </c>
      <c r="B14">
        <v>70</v>
      </c>
      <c r="C14">
        <v>80</v>
      </c>
      <c r="D14">
        <v>55</v>
      </c>
      <c r="E14">
        <v>60</v>
      </c>
      <c r="F14">
        <v>80</v>
      </c>
      <c r="G14">
        <v>50</v>
      </c>
      <c r="H14">
        <v>75</v>
      </c>
      <c r="I14">
        <v>50</v>
      </c>
      <c r="J14">
        <v>60</v>
      </c>
      <c r="K14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abaddon</dc:creator>
  <cp:lastModifiedBy>abaddon</cp:lastModifiedBy>
  <dcterms:created xsi:type="dcterms:W3CDTF">2021-02-26T11:08:00Z</dcterms:created>
  <dcterms:modified xsi:type="dcterms:W3CDTF">2021-02-26T13:42:54Z</dcterms:modified>
</cp:coreProperties>
</file>